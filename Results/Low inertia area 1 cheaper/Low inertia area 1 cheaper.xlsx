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ancamilo_castano_kuleuven_be/Documents/Desktop/Results/Low inertia area 1 cheaper/"/>
    </mc:Choice>
  </mc:AlternateContent>
  <xr:revisionPtr revIDLastSave="13" documentId="14_{63936435-F6AA-4C4C-A7ED-B9E892F47CB8}" xr6:coauthVersionLast="47" xr6:coauthVersionMax="47" xr10:uidLastSave="{B517ABB4-12AC-443F-94A1-02C21F7C0F98}"/>
  <bookViews>
    <workbookView xWindow="-108" yWindow="-108" windowWidth="23256" windowHeight="13896" xr2:uid="{87450907-090B-4C7B-8BBF-3CC72AB4E2B6}"/>
  </bookViews>
  <sheets>
    <sheet name="Low inertia case area 1 chea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D3" i="1"/>
  <c r="C3" i="1"/>
  <c r="C4" i="1"/>
  <c r="D5" i="1"/>
  <c r="C5" i="1"/>
  <c r="D6" i="1"/>
  <c r="C6" i="1"/>
</calcChain>
</file>

<file path=xl/sharedStrings.xml><?xml version="1.0" encoding="utf-8"?>
<sst xmlns="http://schemas.openxmlformats.org/spreadsheetml/2006/main" count="6" uniqueCount="6">
  <si>
    <t>Bound</t>
  </si>
  <si>
    <t>PL A1</t>
  </si>
  <si>
    <t>PL A2</t>
  </si>
  <si>
    <t>cost</t>
  </si>
  <si>
    <t>Reserve cost area 1</t>
  </si>
  <si>
    <t>Reserve cost 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</si>
</sst>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Reserve</a:t>
            </a:r>
            <a:r>
              <a:rPr lang="en-US" baseline="0"/>
              <a:t> costs per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60577458380057"/>
          <c:y val="0.1979440342462698"/>
          <c:w val="0.85199965983382708"/>
          <c:h val="0.72285087964114092"/>
        </c:manualLayout>
      </c:layout>
      <c:scatterChart>
        <c:scatterStyle val="smoothMarker"/>
        <c:varyColors val="0"/>
        <c:ser>
          <c:idx val="0"/>
          <c:order val="0"/>
          <c:tx>
            <c:v>Area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area 1 cheaper'!$C$2:$C$6</c:f>
              <c:numCache>
                <c:formatCode>General</c:formatCode>
                <c:ptCount val="5"/>
                <c:pt idx="0">
                  <c:v>6361.9178983319762</c:v>
                </c:pt>
                <c:pt idx="1">
                  <c:v>6361.1171476416848</c:v>
                </c:pt>
                <c:pt idx="2">
                  <c:v>7104.6240970908257</c:v>
                </c:pt>
                <c:pt idx="3">
                  <c:v>9227.7790193685396</c:v>
                </c:pt>
                <c:pt idx="4">
                  <c:v>12858.364783929359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15-4459-9CD1-09F3E08661F4}"/>
            </c:ext>
          </c:extLst>
        </c:ser>
        <c:ser>
          <c:idx val="1"/>
          <c:order val="1"/>
          <c:tx>
            <c:v>Area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'Low inertia case area 1 cheaper'!$A$2:$A$6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area 1 cheaper'!$D$2:$D$6</c:f>
              <c:numCache>
                <c:formatCode>General</c:formatCode>
                <c:ptCount val="5"/>
                <c:pt idx="0">
                  <c:v>3184.2446480784101</c:v>
                </c:pt>
                <c:pt idx="1">
                  <c:v>3209.7284273584901</c:v>
                </c:pt>
                <c:pt idx="2">
                  <c:v>5292.9389850921698</c:v>
                </c:pt>
                <c:pt idx="3">
                  <c:v>8931.8146937852307</c:v>
                </c:pt>
                <c:pt idx="4">
                  <c:v>12603.998257616471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15-4459-9CD1-09F3E0866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 function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77021429235122"/>
          <c:y val="0.19794418021944379"/>
          <c:w val="0.79711395720203371"/>
          <c:h val="0.722850879641140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area 1 cheaper'!$B$2:$B$6</c:f>
              <c:numCache>
                <c:formatCode>General</c:formatCode>
                <c:ptCount val="5"/>
                <c:pt idx="0">
                  <c:v>152575.04676033399</c:v>
                </c:pt>
                <c:pt idx="1">
                  <c:v>152572.46904816499</c:v>
                </c:pt>
                <c:pt idx="2">
                  <c:v>153623.710613378</c:v>
                </c:pt>
                <c:pt idx="3">
                  <c:v>157964.420825379</c:v>
                </c:pt>
                <c:pt idx="4">
                  <c:v>163794.813125777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2-4378-BF18-0CBF40D5F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570803</xdr:colOff>
      <xdr:row>27</xdr:row>
      <xdr:rowOff>89669</xdr:rowOff>
    </xdr:from>
    <xdr:to>
      <xdr:col>17</xdr:col>
      <xdr:colOff>256479</xdr:colOff>
      <xdr:row>43</xdr:row>
      <xdr:rowOff>173088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8BD7D-56EB-4B0B-95F6-B7B935D2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435428</xdr:colOff>
      <xdr:row>9</xdr:row>
      <xdr:rowOff>0</xdr:rowOff>
    </xdr:from>
    <xdr:to>
      <xdr:col>17</xdr:col>
      <xdr:colOff>186418</xdr:colOff>
      <xdr:row>25</xdr:row>
      <xdr:rowOff>83418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A602DC-F03B-4454-B61B-1E32133CD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F6"/>
  <sheetViews>
    <sheetView tabSelected="1" topLeftCell="A25" zoomScaleNormal="100" workbookViewId="0">
      <selection activeCell="T41" sqref="T41"/>
    </sheetView>
  </sheetViews>
  <sheetFormatPr defaultRowHeight="14.4" x14ac:dyDescent="0.3"/>
  <cols>
    <col min="3" max="3" width="19" customWidth="1"/>
    <col min="4" max="4" width="2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">
      <c r="A2">
        <v>40</v>
      </c>
      <c r="B2">
        <v>152575.04676033399</v>
      </c>
      <c r="C2">
        <f>4854.00985190105+719.937320405789+787.970726025137</f>
        <v>6361.9178983319762</v>
      </c>
      <c r="D2">
        <f>3184.24464807841</f>
        <v>3184.2446480784101</v>
      </c>
      <c r="E2">
        <v>50</v>
      </c>
      <c r="F2">
        <v>50</v>
      </c>
    </row>
    <row r="3" spans="1:6" x14ac:dyDescent="0.3">
      <c r="A3">
        <v>15</v>
      </c>
      <c r="B3">
        <v>152572.46904816499</v>
      </c>
      <c r="C3">
        <f>4854.05279607093+731.064351570755+776</f>
        <v>6361.1171476416848</v>
      </c>
      <c r="D3">
        <f>3209.72842735849</f>
        <v>3209.7284273584901</v>
      </c>
      <c r="E3">
        <v>50</v>
      </c>
      <c r="F3">
        <v>50</v>
      </c>
    </row>
    <row r="4" spans="1:6" x14ac:dyDescent="0.3">
      <c r="A4">
        <v>10</v>
      </c>
      <c r="B4">
        <v>153623.710613378</v>
      </c>
      <c r="C4">
        <f>5596.67888253083+862.832957682576+645.112256877419</f>
        <v>7104.6240970908257</v>
      </c>
      <c r="D4">
        <v>5292.9389850921698</v>
      </c>
      <c r="E4">
        <v>50</v>
      </c>
      <c r="F4">
        <v>50</v>
      </c>
    </row>
    <row r="5" spans="1:6" x14ac:dyDescent="0.3">
      <c r="A5">
        <v>5</v>
      </c>
      <c r="B5">
        <v>157964.420825379</v>
      </c>
      <c r="C5">
        <f>5647.15290173628+1753.9989723528+1826.62714527946</f>
        <v>9227.7790193685396</v>
      </c>
      <c r="D5">
        <f>5650.48975669582+1690.74604486404+1590.57889222537</f>
        <v>8931.8146937852307</v>
      </c>
      <c r="E5">
        <v>50</v>
      </c>
      <c r="F5">
        <v>50</v>
      </c>
    </row>
    <row r="6" spans="1:6" x14ac:dyDescent="0.3">
      <c r="A6">
        <v>0</v>
      </c>
      <c r="B6">
        <v>163794.813125777</v>
      </c>
      <c r="C6">
        <f>5647.16667611414+3497.63142544317+3713.56668237205</f>
        <v>12858.364783929359</v>
      </c>
      <c r="D6">
        <f>5650.52185727783+3606.88429252392+3346.59210781472</f>
        <v>12603.998257616471</v>
      </c>
      <c r="E6">
        <v>50</v>
      </c>
      <c r="F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inertia case area 1 cheaper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2026-03-26T15:56:11Z</dcterms:modified>
</cp:coreProperties>
</file>