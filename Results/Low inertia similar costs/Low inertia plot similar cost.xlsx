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uancamilo_castano_kuleuven_be/Documents/Desktop/Results/Low inertia similar costs/"/>
    </mc:Choice>
  </mc:AlternateContent>
  <xr:revisionPtr revIDLastSave="30" documentId="13_ncr:1_{D03CB5EB-F748-46E6-BE04-4622FC8DDD0D}" xr6:coauthVersionLast="47" xr6:coauthVersionMax="47" xr10:uidLastSave="{A5FA696F-1791-449D-9B75-2FC8E3985226}"/>
  <bookViews>
    <workbookView xWindow="-120" yWindow="-16320" windowWidth="29040" windowHeight="15720" xr2:uid="{87450907-090B-4C7B-8BBF-3CC72AB4E2B6}"/>
  </bookViews>
  <sheets>
    <sheet name="Low inertia case (more rea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D5" i="1"/>
  <c r="C5" i="1"/>
  <c r="D4" i="1"/>
  <c r="C4" i="1"/>
  <c r="C3" i="1"/>
  <c r="C2" i="1"/>
</calcChain>
</file>

<file path=xl/sharedStrings.xml><?xml version="1.0" encoding="utf-8"?>
<sst xmlns="http://schemas.openxmlformats.org/spreadsheetml/2006/main" count="6" uniqueCount="6">
  <si>
    <t>Bound</t>
  </si>
  <si>
    <t>Costo</t>
  </si>
  <si>
    <t>PL A1</t>
  </si>
  <si>
    <t>PL A2</t>
  </si>
  <si>
    <t>reserve cost area 1</t>
  </si>
  <si>
    <t>reserve cost 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</si>
</sst>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Reserve</a:t>
            </a:r>
            <a:r>
              <a:rPr lang="en-US" baseline="0"/>
              <a:t> costs per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60577458380057"/>
          <c:y val="0.1979440342462698"/>
          <c:w val="0.85199965983382708"/>
          <c:h val="0.72285087964114092"/>
        </c:manualLayout>
      </c:layout>
      <c:scatterChart>
        <c:scatterStyle val="smoothMarker"/>
        <c:varyColors val="0"/>
        <c:ser>
          <c:idx val="0"/>
          <c:order val="0"/>
          <c:tx>
            <c:v>Area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(more real)'!$A$2:$A$6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xVal>
          <c:yVal>
            <c:numRef>
              <c:f>'Low inertia case (more real)'!$C$2:$C$6</c:f>
              <c:numCache>
                <c:formatCode>General</c:formatCode>
                <c:ptCount val="5"/>
                <c:pt idx="0">
                  <c:v>6168.5704083606897</c:v>
                </c:pt>
                <c:pt idx="1">
                  <c:v>6168.6758169616496</c:v>
                </c:pt>
                <c:pt idx="2">
                  <c:v>6796.2551236974459</c:v>
                </c:pt>
                <c:pt idx="3">
                  <c:v>8909.6882785395737</c:v>
                </c:pt>
                <c:pt idx="4">
                  <c:v>12525.585325657481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52-4746-AF76-9965E54E86A3}"/>
            </c:ext>
          </c:extLst>
        </c:ser>
        <c:ser>
          <c:idx val="1"/>
          <c:order val="1"/>
          <c:tx>
            <c:v>Area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'Low inertia case (more real)'!$A$2:$A$6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xVal>
          <c:yVal>
            <c:numRef>
              <c:f>'Low inertia case (more real)'!$D$2:$D$6</c:f>
              <c:numCache>
                <c:formatCode>General</c:formatCode>
                <c:ptCount val="5"/>
                <c:pt idx="0">
                  <c:v>3015.86690222781</c:v>
                </c:pt>
                <c:pt idx="1">
                  <c:v>3039.5563425549699</c:v>
                </c:pt>
                <c:pt idx="2">
                  <c:v>5133.3561067671799</c:v>
                </c:pt>
                <c:pt idx="3">
                  <c:v>8868.0904917096195</c:v>
                </c:pt>
                <c:pt idx="4">
                  <c:v>12433.378120040461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52-4746-AF76-9965E54E8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</a:t>
            </a:r>
            <a:r>
              <a:rPr lang="en-US" baseline="0"/>
              <a:t> function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77021429235122"/>
          <c:y val="0.19794418021944379"/>
          <c:w val="0.79711395720203371"/>
          <c:h val="0.7228508796411409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(more real)'!$A$2:$A$6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xVal>
          <c:yVal>
            <c:numRef>
              <c:f>'Low inertia case (more real)'!$B$2:$B$6</c:f>
              <c:numCache>
                <c:formatCode>General</c:formatCode>
                <c:ptCount val="5"/>
                <c:pt idx="0">
                  <c:v>227334.41890707199</c:v>
                </c:pt>
                <c:pt idx="1">
                  <c:v>227331.96157554601</c:v>
                </c:pt>
                <c:pt idx="2">
                  <c:v>228558.82666802299</c:v>
                </c:pt>
                <c:pt idx="3">
                  <c:v>232854.40960437001</c:v>
                </c:pt>
                <c:pt idx="4">
                  <c:v>238693.41597322901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B-47F0-BD46-0A086E2CE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179710</xdr:colOff>
      <xdr:row>20</xdr:row>
      <xdr:rowOff>57606</xdr:rowOff>
    </xdr:from>
    <xdr:to>
      <xdr:col>16</xdr:col>
      <xdr:colOff>459745</xdr:colOff>
      <xdr:row>37</xdr:row>
      <xdr:rowOff>170514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E7A49-1B7D-4E3F-9105-76D6C1827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51955</xdr:colOff>
      <xdr:row>0</xdr:row>
      <xdr:rowOff>69272</xdr:rowOff>
    </xdr:from>
    <xdr:to>
      <xdr:col>16</xdr:col>
      <xdr:colOff>393494</xdr:colOff>
      <xdr:row>18</xdr:row>
      <xdr:rowOff>26044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65D1EF-619C-46FC-BB17-EB1202AAB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F6"/>
  <sheetViews>
    <sheetView tabSelected="1" zoomScale="70" zoomScaleNormal="70" workbookViewId="0">
      <selection activeCell="D29" sqref="D29"/>
    </sheetView>
  </sheetViews>
  <sheetFormatPr defaultRowHeight="14.4" x14ac:dyDescent="0.3"/>
  <cols>
    <col min="3" max="3" width="19.21875" customWidth="1"/>
    <col min="4" max="4" width="22.21875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3">
      <c r="A2">
        <v>40</v>
      </c>
      <c r="B2">
        <v>227334.41890707199</v>
      </c>
      <c r="C2">
        <f>5037.57040836069+294+837</f>
        <v>6168.5704083606897</v>
      </c>
      <c r="D2">
        <v>3015.86690222781</v>
      </c>
      <c r="E2">
        <v>50</v>
      </c>
      <c r="F2">
        <v>50</v>
      </c>
    </row>
    <row r="3" spans="1:6" x14ac:dyDescent="0.3">
      <c r="A3">
        <v>15</v>
      </c>
      <c r="B3">
        <v>227331.96157554601</v>
      </c>
      <c r="C3">
        <f>5037+238+893.67581696165</f>
        <v>6168.6758169616496</v>
      </c>
      <c r="D3">
        <v>3039.5563425549699</v>
      </c>
      <c r="E3">
        <v>50</v>
      </c>
      <c r="F3">
        <v>50</v>
      </c>
    </row>
    <row r="4" spans="1:6" x14ac:dyDescent="0.3">
      <c r="A4">
        <v>10</v>
      </c>
      <c r="B4">
        <v>228558.82666802299</v>
      </c>
      <c r="C4">
        <f>5664.40436689443+525.944758640531+605.905998162485</f>
        <v>6796.2551236974459</v>
      </c>
      <c r="D4">
        <f>5133.35610676718</f>
        <v>5133.3561067671799</v>
      </c>
      <c r="E4">
        <v>50</v>
      </c>
      <c r="F4">
        <v>50</v>
      </c>
    </row>
    <row r="5" spans="1:6" x14ac:dyDescent="0.3">
      <c r="A5">
        <v>5</v>
      </c>
      <c r="B5">
        <v>232854.40960437001</v>
      </c>
      <c r="C5">
        <f>5973.67193174306+366.559434328854+2569.45691246766</f>
        <v>8909.6882785395737</v>
      </c>
      <c r="D5">
        <f>5973.66971604864+1419.11032324425+1475.31045241673</f>
        <v>8868.0904917096195</v>
      </c>
      <c r="E5">
        <v>50</v>
      </c>
      <c r="F5">
        <v>50</v>
      </c>
    </row>
    <row r="6" spans="1:6" x14ac:dyDescent="0.3">
      <c r="A6">
        <v>0</v>
      </c>
      <c r="B6">
        <v>238693.41597322901</v>
      </c>
      <c r="C6">
        <f>5973.65800377108+2993.1889464234+3558.738375463</f>
        <v>12525.585325657481</v>
      </c>
      <c r="D6">
        <f>5974.87739717354+3173.51707584123+3284.98364702569</f>
        <v>12433.378120040461</v>
      </c>
      <c r="E6">
        <v>50</v>
      </c>
      <c r="F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inertia case (more real)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2026-03-27T08:25:07Z</dcterms:modified>
</cp:coreProperties>
</file>