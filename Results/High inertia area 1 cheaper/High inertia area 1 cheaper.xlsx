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leuven-my.sharepoint.com/personal/juancamilo_castano_kuleuven_be/Documents/Desktop/Results/High inertia area 1 cheaper/"/>
    </mc:Choice>
  </mc:AlternateContent>
  <xr:revisionPtr revIDLastSave="85" documentId="14_{63936435-F6AA-4C4C-A7ED-B9E892F47CB8}" xr6:coauthVersionLast="47" xr6:coauthVersionMax="47" xr10:uidLastSave="{BF4ED5DA-7616-4FCE-81D5-E16D782B0760}"/>
  <bookViews>
    <workbookView xWindow="-120" yWindow="-16320" windowWidth="29040" windowHeight="15720" xr2:uid="{87450907-090B-4C7B-8BBF-3CC72AB4E2B6}"/>
  </bookViews>
  <sheets>
    <sheet name="Low inertia case area 1 cheap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8" i="1"/>
  <c r="D8" i="1"/>
  <c r="D7" i="1"/>
  <c r="C7" i="1"/>
  <c r="D6" i="1"/>
  <c r="C6" i="1"/>
  <c r="D5" i="1"/>
  <c r="D4" i="1"/>
  <c r="C4" i="1"/>
  <c r="C3" i="1"/>
  <c r="D2" i="1"/>
  <c r="C2" i="1"/>
</calcChain>
</file>

<file path=xl/sharedStrings.xml><?xml version="1.0" encoding="utf-8"?>
<sst xmlns="http://schemas.openxmlformats.org/spreadsheetml/2006/main" count="6" uniqueCount="6">
  <si>
    <t>Bound</t>
  </si>
  <si>
    <t>PL A1</t>
  </si>
  <si>
    <t>PL A2</t>
  </si>
  <si>
    <t>cost</t>
  </si>
  <si>
    <t>Reserve cost area 1</t>
  </si>
  <si>
    <t>Reserve cost area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</si>
</sst>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Reserve</a:t>
            </a:r>
            <a:r>
              <a:rPr lang="en-US" baseline="0"/>
              <a:t> costs per area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60577458380057"/>
          <c:y val="0.1979440342462698"/>
          <c:w val="0.85199965983382708"/>
          <c:h val="0.72285087964114092"/>
        </c:manualLayout>
      </c:layout>
      <c:scatterChart>
        <c:scatterStyle val="smoothMarker"/>
        <c:varyColors val="0"/>
        <c:ser>
          <c:idx val="0"/>
          <c:order val="0"/>
          <c:tx>
            <c:v>Area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'Low inertia case area 1 cheaper'!$A$2:$A$8</c:f>
              <c:numCache>
                <c:formatCode>General</c:formatCode>
                <c:ptCount val="7"/>
                <c:pt idx="0">
                  <c:v>40</c:v>
                </c:pt>
                <c:pt idx="1">
                  <c:v>22</c:v>
                </c:pt>
                <c:pt idx="2">
                  <c:v>20</c:v>
                </c:pt>
                <c:pt idx="3">
                  <c:v>15</c:v>
                </c:pt>
                <c:pt idx="4">
                  <c:v>10</c:v>
                </c:pt>
                <c:pt idx="5">
                  <c:v>5</c:v>
                </c:pt>
                <c:pt idx="6">
                  <c:v>0</c:v>
                </c:pt>
              </c:numCache>
            </c:numRef>
          </c:xVal>
          <c:yVal>
            <c:numRef>
              <c:f>'Low inertia case area 1 cheaper'!$C$2:$C$8</c:f>
              <c:numCache>
                <c:formatCode>General</c:formatCode>
                <c:ptCount val="7"/>
                <c:pt idx="0">
                  <c:v>9697.5748791180013</c:v>
                </c:pt>
                <c:pt idx="1">
                  <c:v>11301.73653812854</c:v>
                </c:pt>
                <c:pt idx="2">
                  <c:v>11974.9703518933</c:v>
                </c:pt>
                <c:pt idx="3">
                  <c:v>13813.458147332811</c:v>
                </c:pt>
                <c:pt idx="4">
                  <c:v>16292.04721472157</c:v>
                </c:pt>
                <c:pt idx="5">
                  <c:v>19964.229395460879</c:v>
                </c:pt>
                <c:pt idx="6" formatCode="0.0">
                  <c:v>23636.41297473466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15-4459-9CD1-09F3E08661F4}"/>
            </c:ext>
          </c:extLst>
        </c:ser>
        <c:ser>
          <c:idx val="1"/>
          <c:order val="1"/>
          <c:tx>
            <c:v>Area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'Low inertia case area 1 cheaper'!$A$2:$A$8</c:f>
              <c:numCache>
                <c:formatCode>General</c:formatCode>
                <c:ptCount val="7"/>
                <c:pt idx="0">
                  <c:v>40</c:v>
                </c:pt>
                <c:pt idx="1">
                  <c:v>22</c:v>
                </c:pt>
                <c:pt idx="2">
                  <c:v>20</c:v>
                </c:pt>
                <c:pt idx="3">
                  <c:v>15</c:v>
                </c:pt>
                <c:pt idx="4">
                  <c:v>10</c:v>
                </c:pt>
                <c:pt idx="5">
                  <c:v>5</c:v>
                </c:pt>
                <c:pt idx="6">
                  <c:v>0</c:v>
                </c:pt>
              </c:numCache>
            </c:numRef>
          </c:xVal>
          <c:yVal>
            <c:numRef>
              <c:f>'Low inertia case area 1 cheaper'!$D$2:$D$8</c:f>
              <c:numCache>
                <c:formatCode>General</c:formatCode>
                <c:ptCount val="7"/>
                <c:pt idx="0">
                  <c:v>4848.9258715414298</c:v>
                </c:pt>
                <c:pt idx="1">
                  <c:v>3686.9529968666702</c:v>
                </c:pt>
                <c:pt idx="2">
                  <c:v>3708.1423645579298</c:v>
                </c:pt>
                <c:pt idx="3">
                  <c:v>5089.3116623373207</c:v>
                </c:pt>
                <c:pt idx="4">
                  <c:v>4223.5155255356849</c:v>
                </c:pt>
                <c:pt idx="5">
                  <c:v>7004.8808163089843</c:v>
                </c:pt>
                <c:pt idx="6" formatCode="0.0">
                  <c:v>9673.9944669408196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F15-4459-9CD1-09F3E0866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107520"/>
        <c:axId val="475108960"/>
      </c:scatterChart>
      <c:valAx>
        <c:axId val="47510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Limit of the reserve [MW] per converter</a:t>
                </a:r>
              </a:p>
            </c:rich>
          </c:tx>
          <c:layout>
            <c:manualLayout>
              <c:xMode val="edge"/>
              <c:yMode val="edge"/>
              <c:x val="0.30225342555226592"/>
              <c:y val="0.124362958885548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08960"/>
        <c:crosses val="autoZero"/>
        <c:crossBetween val="midCat"/>
      </c:valAx>
      <c:valAx>
        <c:axId val="47510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Reserve</a:t>
                </a:r>
                <a:r>
                  <a:rPr lang="en-US" baseline="0"/>
                  <a:t> costs [Euros]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07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Objective</a:t>
            </a:r>
            <a:r>
              <a:rPr lang="en-US" baseline="0"/>
              <a:t> function value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77021429235122"/>
          <c:y val="0.19794418021944379"/>
          <c:w val="0.79711395720203371"/>
          <c:h val="0.72285087964114092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'Low inertia case area 1 cheaper'!$A$2:$A$8</c:f>
              <c:numCache>
                <c:formatCode>General</c:formatCode>
                <c:ptCount val="7"/>
                <c:pt idx="0">
                  <c:v>40</c:v>
                </c:pt>
                <c:pt idx="1">
                  <c:v>22</c:v>
                </c:pt>
                <c:pt idx="2">
                  <c:v>20</c:v>
                </c:pt>
                <c:pt idx="3">
                  <c:v>15</c:v>
                </c:pt>
                <c:pt idx="4">
                  <c:v>10</c:v>
                </c:pt>
                <c:pt idx="5">
                  <c:v>5</c:v>
                </c:pt>
                <c:pt idx="6">
                  <c:v>0</c:v>
                </c:pt>
              </c:numCache>
            </c:numRef>
          </c:xVal>
          <c:yVal>
            <c:numRef>
              <c:f>'Low inertia case area 1 cheaper'!$B$2:$B$8</c:f>
              <c:numCache>
                <c:formatCode>General</c:formatCode>
                <c:ptCount val="7"/>
                <c:pt idx="0">
                  <c:v>124637.04199049401</c:v>
                </c:pt>
                <c:pt idx="1">
                  <c:v>125050.08093108299</c:v>
                </c:pt>
                <c:pt idx="2">
                  <c:v>125410.517199997</c:v>
                </c:pt>
                <c:pt idx="3">
                  <c:v>127570.39792367601</c:v>
                </c:pt>
                <c:pt idx="4">
                  <c:v>130714.72818844899</c:v>
                </c:pt>
                <c:pt idx="5">
                  <c:v>134782.74532025799</c:v>
                </c:pt>
                <c:pt idx="6">
                  <c:v>140024.14548981999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22-4378-BF18-0CBF40D5F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107520"/>
        <c:axId val="475108960"/>
      </c:scatterChart>
      <c:valAx>
        <c:axId val="47510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Limit of the reserve [MW] per converter</a:t>
                </a:r>
              </a:p>
            </c:rich>
          </c:tx>
          <c:layout>
            <c:manualLayout>
              <c:xMode val="edge"/>
              <c:yMode val="edge"/>
              <c:x val="0.30225342555226592"/>
              <c:y val="0.124362958885548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08960"/>
        <c:crosses val="autoZero"/>
        <c:crossBetween val="midCat"/>
      </c:valAx>
      <c:valAx>
        <c:axId val="47510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Reserve</a:t>
                </a:r>
                <a:r>
                  <a:rPr lang="en-US" baseline="0"/>
                  <a:t> costs [Euros]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07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570803</xdr:colOff>
      <xdr:row>27</xdr:row>
      <xdr:rowOff>89669</xdr:rowOff>
    </xdr:from>
    <xdr:to>
      <xdr:col>17</xdr:col>
      <xdr:colOff>256479</xdr:colOff>
      <xdr:row>43</xdr:row>
      <xdr:rowOff>173088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E8BD7D-56EB-4B0B-95F6-B7B935D275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435428</xdr:colOff>
      <xdr:row>9</xdr:row>
      <xdr:rowOff>0</xdr:rowOff>
    </xdr:from>
    <xdr:to>
      <xdr:col>17</xdr:col>
      <xdr:colOff>186418</xdr:colOff>
      <xdr:row>25</xdr:row>
      <xdr:rowOff>83418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A602DC-F03B-4454-B61B-1E32133CDF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C4AF6-85C7-43AF-A954-5328F9035CAC}">
  <dimension ref="A1:F8"/>
  <sheetViews>
    <sheetView tabSelected="1" topLeftCell="D25" zoomScale="130" zoomScaleNormal="130" workbookViewId="0">
      <selection activeCell="S25" sqref="S25"/>
    </sheetView>
  </sheetViews>
  <sheetFormatPr defaultRowHeight="14.4" x14ac:dyDescent="0.3"/>
  <cols>
    <col min="3" max="3" width="19" customWidth="1"/>
    <col min="4" max="4" width="25" customWidth="1"/>
  </cols>
  <sheetData>
    <row r="1" spans="1:6" x14ac:dyDescent="0.3">
      <c r="A1" t="s">
        <v>0</v>
      </c>
      <c r="B1" t="s">
        <v>3</v>
      </c>
      <c r="C1" t="s">
        <v>4</v>
      </c>
      <c r="D1" t="s">
        <v>5</v>
      </c>
      <c r="E1" t="s">
        <v>1</v>
      </c>
      <c r="F1" t="s">
        <v>2</v>
      </c>
    </row>
    <row r="2" spans="1:6" x14ac:dyDescent="0.3">
      <c r="A2">
        <v>40</v>
      </c>
      <c r="B2">
        <v>124637.04199049401</v>
      </c>
      <c r="C2">
        <f>4989.70649688158+2310.87272114157+2396.99566109485</f>
        <v>9697.5748791180013</v>
      </c>
      <c r="D2">
        <f>4848.92587154143</f>
        <v>4848.9258715414298</v>
      </c>
      <c r="E2">
        <v>80</v>
      </c>
      <c r="F2">
        <v>64</v>
      </c>
    </row>
    <row r="3" spans="1:6" x14ac:dyDescent="0.3">
      <c r="A3">
        <v>22</v>
      </c>
      <c r="B3">
        <v>125050.08093108299</v>
      </c>
      <c r="C3">
        <f>5906.48762199005+2786.04352696572+2609.20538917277</f>
        <v>11301.73653812854</v>
      </c>
      <c r="D3">
        <v>3686.9529968666702</v>
      </c>
      <c r="E3">
        <v>80</v>
      </c>
      <c r="F3">
        <v>64</v>
      </c>
    </row>
    <row r="4" spans="1:6" x14ac:dyDescent="0.3">
      <c r="A4">
        <v>20</v>
      </c>
      <c r="B4">
        <v>125410.517199997</v>
      </c>
      <c r="C4">
        <f>5906.60728899873+3179.40806059257+2888.955002302</f>
        <v>11974.9703518933</v>
      </c>
      <c r="D4">
        <f>3708.14236455793</f>
        <v>3708.1423645579298</v>
      </c>
      <c r="E4">
        <v>80</v>
      </c>
      <c r="F4">
        <v>64</v>
      </c>
    </row>
    <row r="5" spans="1:6" x14ac:dyDescent="0.3">
      <c r="A5">
        <v>15</v>
      </c>
      <c r="B5">
        <v>127570.39792367601</v>
      </c>
      <c r="C5">
        <f>5906.4818130752+2740.26366835644+5166.71266590117</f>
        <v>13813.458147332811</v>
      </c>
      <c r="D5">
        <f>4749.36604863439+182.246661357822+157.698952345109</f>
        <v>5089.3116623373207</v>
      </c>
      <c r="E5">
        <v>80</v>
      </c>
      <c r="F5">
        <v>64</v>
      </c>
    </row>
    <row r="6" spans="1:6" x14ac:dyDescent="0.3">
      <c r="A6">
        <v>10</v>
      </c>
      <c r="B6">
        <v>130714.72818844899</v>
      </c>
      <c r="C6">
        <f>5906.60595722744+4951.98556517282+5433.45569232131</f>
        <v>16292.04721472157</v>
      </c>
      <c r="D6">
        <f>3498.21963722713+350.475291861342+374.820596447213</f>
        <v>4223.5155255356849</v>
      </c>
      <c r="E6">
        <v>80</v>
      </c>
      <c r="F6">
        <v>64</v>
      </c>
    </row>
    <row r="7" spans="1:6" x14ac:dyDescent="0.3">
      <c r="A7">
        <v>5</v>
      </c>
      <c r="B7">
        <v>134782.74532025799</v>
      </c>
      <c r="C7">
        <f>5906.47540998282+6819.12072355805+7238.63326192001</f>
        <v>19964.229395460879</v>
      </c>
      <c r="D7">
        <f>4998.84577448092+1207.56788661508+798.467155212984</f>
        <v>7004.8808163089843</v>
      </c>
      <c r="E7">
        <v>80</v>
      </c>
      <c r="F7">
        <v>64</v>
      </c>
    </row>
    <row r="8" spans="1:6" x14ac:dyDescent="0.3">
      <c r="A8">
        <v>0</v>
      </c>
      <c r="B8">
        <v>140024.14548981999</v>
      </c>
      <c r="C8" s="1">
        <f>5906.47586978204+8864.64657093552+8865.2905340171</f>
        <v>23636.41297473466</v>
      </c>
      <c r="D8" s="1">
        <f>6749.91014151193+1791.40531441442+1132.67901101447</f>
        <v>9673.9944669408196</v>
      </c>
      <c r="E8">
        <v>80</v>
      </c>
      <c r="F8">
        <v>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Low inertia case area 1 cheaper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Camilo Castaño</dc:creator>
  <cp:lastModifiedBy>Juan Camilo Castaño</cp:lastModifiedBy>
  <dcterms:created xsi:type="dcterms:W3CDTF">2026-03-24T09:25:46Z</dcterms:created>
  <dcterms:modified xsi:type="dcterms:W3CDTF">2026-03-27T08:29:13Z</dcterms:modified>
</cp:coreProperties>
</file>