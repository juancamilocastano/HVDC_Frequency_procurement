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uancamilo_castano_kuleuven_be/Documents/Desktop/Results/High inertia similar costs/"/>
    </mc:Choice>
  </mc:AlternateContent>
  <xr:revisionPtr revIDLastSave="35" documentId="14_{63936435-F6AA-4C4C-A7ED-B9E892F47CB8}" xr6:coauthVersionLast="47" xr6:coauthVersionMax="47" xr10:uidLastSave="{2FBBF301-5E86-450C-A24A-B7850D8D3A4E}"/>
  <bookViews>
    <workbookView xWindow="-120" yWindow="-16320" windowWidth="29040" windowHeight="15720" xr2:uid="{87450907-090B-4C7B-8BBF-3CC72AB4E2B6}"/>
  </bookViews>
  <sheets>
    <sheet name="Low inertia case area 1 chea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6" i="1"/>
  <c r="D5" i="1"/>
  <c r="C5" i="1"/>
  <c r="D4" i="1"/>
  <c r="C4" i="1"/>
  <c r="D3" i="1"/>
  <c r="C3" i="1"/>
  <c r="D2" i="1"/>
  <c r="C2" i="1"/>
  <c r="D8" i="1"/>
  <c r="C8" i="1"/>
</calcChain>
</file>

<file path=xl/sharedStrings.xml><?xml version="1.0" encoding="utf-8"?>
<sst xmlns="http://schemas.openxmlformats.org/spreadsheetml/2006/main" count="6" uniqueCount="6">
  <si>
    <t>Bound</t>
  </si>
  <si>
    <t>PL A1</t>
  </si>
  <si>
    <t>PL A2</t>
  </si>
  <si>
    <t>cost</t>
  </si>
  <si>
    <t>Reserve cost area 1</t>
  </si>
  <si>
    <t>Reserve cost 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</si>
</sst>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Reserve</a:t>
            </a:r>
            <a:r>
              <a:rPr lang="en-US" baseline="0"/>
              <a:t> costs per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60577458380057"/>
          <c:y val="0.1979440342462698"/>
          <c:w val="0.85199965983382708"/>
          <c:h val="0.72285087964114092"/>
        </c:manualLayout>
      </c:layout>
      <c:scatterChart>
        <c:scatterStyle val="smoothMarker"/>
        <c:varyColors val="0"/>
        <c:ser>
          <c:idx val="0"/>
          <c:order val="0"/>
          <c:tx>
            <c:v>Area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cheaper'!$C$2:$C$8</c:f>
              <c:numCache>
                <c:formatCode>General</c:formatCode>
                <c:ptCount val="7"/>
                <c:pt idx="0">
                  <c:v>11325.99960072537</c:v>
                </c:pt>
                <c:pt idx="1">
                  <c:v>11325.99433283138</c:v>
                </c:pt>
                <c:pt idx="2">
                  <c:v>11692.267286575929</c:v>
                </c:pt>
                <c:pt idx="3">
                  <c:v>13211.211519471348</c:v>
                </c:pt>
                <c:pt idx="4">
                  <c:v>11692.267286575929</c:v>
                </c:pt>
                <c:pt idx="5">
                  <c:v>11325.99433283138</c:v>
                </c:pt>
                <c:pt idx="6">
                  <c:v>21050.569729580151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15-4459-9CD1-09F3E08661F4}"/>
            </c:ext>
          </c:extLst>
        </c:ser>
        <c:ser>
          <c:idx val="1"/>
          <c:order val="1"/>
          <c:tx>
            <c:v>Area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cheaper'!$D$2:$D$8</c:f>
              <c:numCache>
                <c:formatCode>General</c:formatCode>
                <c:ptCount val="7"/>
                <c:pt idx="0">
                  <c:v>3511.2042819705798</c:v>
                </c:pt>
                <c:pt idx="1">
                  <c:v>3536.6536255612</c:v>
                </c:pt>
                <c:pt idx="2">
                  <c:v>3708.1423583063502</c:v>
                </c:pt>
                <c:pt idx="3">
                  <c:v>4992.5391880657471</c:v>
                </c:pt>
                <c:pt idx="4">
                  <c:v>3708.1423583063502</c:v>
                </c:pt>
                <c:pt idx="5">
                  <c:v>3536.6536255612</c:v>
                </c:pt>
                <c:pt idx="6">
                  <c:v>10408.25431072111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15-4459-9CD1-09F3E0866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77021429235122"/>
          <c:y val="0.19794418021944379"/>
          <c:w val="0.79711395720203371"/>
          <c:h val="0.722850879641140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area 1 cheaper'!$A$2:$A$8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'Low inertia case area 1 cheaper'!$B$2:$B$8</c:f>
              <c:numCache>
                <c:formatCode>General</c:formatCode>
                <c:ptCount val="7"/>
                <c:pt idx="0">
                  <c:v>207638.549451289</c:v>
                </c:pt>
                <c:pt idx="1">
                  <c:v>207639.139431719</c:v>
                </c:pt>
                <c:pt idx="2">
                  <c:v>207803.73037579999</c:v>
                </c:pt>
                <c:pt idx="3">
                  <c:v>210485.65407716201</c:v>
                </c:pt>
                <c:pt idx="4">
                  <c:v>213823.65844777599</c:v>
                </c:pt>
                <c:pt idx="5">
                  <c:v>218010.233420251</c:v>
                </c:pt>
                <c:pt idx="6">
                  <c:v>223395.211649698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2-4378-BF18-0CBF40D5F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Limit of the reserve [MW] per converter</a:t>
                </a:r>
              </a:p>
            </c:rich>
          </c:tx>
          <c:layout>
            <c:manualLayout>
              <c:xMode val="edge"/>
              <c:yMode val="edge"/>
              <c:x val="0.30225342555226592"/>
              <c:y val="0.12436295888554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Reserve</a:t>
                </a:r>
                <a:r>
                  <a:rPr lang="en-US" baseline="0"/>
                  <a:t> costs [Euros]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570803</xdr:colOff>
      <xdr:row>27</xdr:row>
      <xdr:rowOff>89669</xdr:rowOff>
    </xdr:from>
    <xdr:to>
      <xdr:col>17</xdr:col>
      <xdr:colOff>256479</xdr:colOff>
      <xdr:row>43</xdr:row>
      <xdr:rowOff>173088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8BD7D-56EB-4B0B-95F6-B7B935D27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435428</xdr:colOff>
      <xdr:row>9</xdr:row>
      <xdr:rowOff>0</xdr:rowOff>
    </xdr:from>
    <xdr:to>
      <xdr:col>17</xdr:col>
      <xdr:colOff>186418</xdr:colOff>
      <xdr:row>25</xdr:row>
      <xdr:rowOff>83418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A602DC-F03B-4454-B61B-1E32133CD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F8"/>
  <sheetViews>
    <sheetView tabSelected="1" topLeftCell="C1" zoomScale="115" zoomScaleNormal="115" workbookViewId="0">
      <selection activeCell="T28" sqref="T28"/>
    </sheetView>
  </sheetViews>
  <sheetFormatPr defaultRowHeight="14.4" x14ac:dyDescent="0.3"/>
  <cols>
    <col min="3" max="3" width="19" customWidth="1"/>
    <col min="4" max="4" width="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>
        <v>40</v>
      </c>
      <c r="B2">
        <v>207638.549451289</v>
      </c>
      <c r="C2">
        <f>5890.65714273976+2903.84400333147+2531.49845465414</f>
        <v>11325.99960072537</v>
      </c>
      <c r="D2">
        <f>3511.20428197058</f>
        <v>3511.2042819705798</v>
      </c>
      <c r="E2">
        <v>80.039999939218504</v>
      </c>
      <c r="F2">
        <v>64.031999803884204</v>
      </c>
    </row>
    <row r="3" spans="1:6" x14ac:dyDescent="0.3">
      <c r="A3">
        <v>22</v>
      </c>
      <c r="B3">
        <v>207639.139431719</v>
      </c>
      <c r="C3">
        <f>5890.63924089866+3181.52570321922+2253.8293887135</f>
        <v>11325.99433283138</v>
      </c>
      <c r="D3">
        <f>3536.6536255612</f>
        <v>3536.6536255612</v>
      </c>
      <c r="E3">
        <v>80.039999939218504</v>
      </c>
      <c r="F3">
        <v>64.031999803884204</v>
      </c>
    </row>
    <row r="4" spans="1:6" x14ac:dyDescent="0.3">
      <c r="A4">
        <v>20</v>
      </c>
      <c r="B4">
        <v>207803.73037579999</v>
      </c>
      <c r="C4">
        <f>5909.20545133141+3048.85894775342+2734.2028874911</f>
        <v>11692.267286575929</v>
      </c>
      <c r="D4">
        <f>3708.14235830635</f>
        <v>3708.1423583063502</v>
      </c>
      <c r="E4">
        <v>80.039999939218504</v>
      </c>
      <c r="F4">
        <v>64.031999803884204</v>
      </c>
    </row>
    <row r="5" spans="1:6" x14ac:dyDescent="0.3">
      <c r="A5">
        <v>15</v>
      </c>
      <c r="B5">
        <v>210485.65407716201</v>
      </c>
      <c r="C5">
        <f>5910.29885585495+3813.60028603149+3487.31237758491</f>
        <v>13211.211519471348</v>
      </c>
      <c r="D5">
        <f>4652.61189339837+162.953189454496+176.974105212881</f>
        <v>4992.5391880657471</v>
      </c>
      <c r="E5">
        <v>80.039999939218504</v>
      </c>
      <c r="F5">
        <v>64.031999803884204</v>
      </c>
    </row>
    <row r="6" spans="1:6" x14ac:dyDescent="0.3">
      <c r="A6">
        <v>10</v>
      </c>
      <c r="B6">
        <v>213823.65844777599</v>
      </c>
      <c r="C6">
        <f>5909.20545133141+3048.85894775342+2734.2028874911</f>
        <v>11692.267286575929</v>
      </c>
      <c r="D6">
        <v>3708.1423583063502</v>
      </c>
      <c r="E6">
        <v>80.039999939218504</v>
      </c>
      <c r="F6">
        <v>64.031999803884204</v>
      </c>
    </row>
    <row r="7" spans="1:6" x14ac:dyDescent="0.3">
      <c r="A7">
        <v>5</v>
      </c>
      <c r="B7">
        <v>218010.233420251</v>
      </c>
      <c r="C7">
        <f>5890.63924089866+3181.52570321922+2253.8293887135</f>
        <v>11325.99433283138</v>
      </c>
      <c r="D7">
        <f>3536.6536255612</f>
        <v>3536.6536255612</v>
      </c>
      <c r="E7">
        <v>80.039999939218504</v>
      </c>
      <c r="F7">
        <v>64.031999803884204</v>
      </c>
    </row>
    <row r="8" spans="1:6" x14ac:dyDescent="0.3">
      <c r="A8">
        <v>0</v>
      </c>
      <c r="B8">
        <v>223395.211649698</v>
      </c>
      <c r="C8">
        <f>6275.61609400783+7747.60190101769+7027.35173455463</f>
        <v>21050.569729580151</v>
      </c>
      <c r="D8">
        <f>7484.17218170668+1823.27073035566+1100.81139865877</f>
        <v>10408.25431072111</v>
      </c>
      <c r="E8">
        <v>80.039999939218504</v>
      </c>
      <c r="F8">
        <v>64.031999803884204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area 1 cheaper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2026-03-27T08:25:10Z</dcterms:modified>
</cp:coreProperties>
</file>